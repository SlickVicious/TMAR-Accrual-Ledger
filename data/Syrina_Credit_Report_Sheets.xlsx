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rina Credit Summary" sheetId="1" state="visible" r:id="rId3"/>
    <sheet name="Syrina Debt Strategy" sheetId="2" state="visible" r:id="rId4"/>
    <sheet name="Syrina Student Loa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<sst xmlns="http://schemas.openxmlformats.org/spreadsheetml/2006/main" count="290" uniqueCount="188">
  <si>
    <t xml:space="preserve">SYRINA WIMBERLY — TRANSUNION CREDIT REPORT SUMMARY (01/15/2026)</t>
  </si>
  <si>
    <t xml:space="preserve">PERSONAL INFO</t>
  </si>
  <si>
    <t xml:space="preserve">Full Name</t>
  </si>
  <si>
    <t xml:space="preserve">SYRINA S. WIMBERLY</t>
  </si>
  <si>
    <t xml:space="preserve">SSN (masked)</t>
  </si>
  <si>
    <t xml:space="preserve">XXX-XX-5467</t>
  </si>
  <si>
    <t xml:space="preserve">DOB</t>
  </si>
  <si>
    <t xml:space="preserve">11/08/1980</t>
  </si>
  <si>
    <t xml:space="preserve">File Since</t>
  </si>
  <si>
    <t xml:space="preserve">11/01/1998</t>
  </si>
  <si>
    <t xml:space="preserve">Current Address</t>
  </si>
  <si>
    <t xml:space="preserve">1903 Saint George Pl, Kinston, NC 28504</t>
  </si>
  <si>
    <t xml:space="preserve">AKA Names</t>
  </si>
  <si>
    <t xml:space="preserve">Syrina M. Sturdivant, Syrina M. Wimberly, Syrina Strimpel</t>
  </si>
  <si>
    <t xml:space="preserve">Employers</t>
  </si>
  <si>
    <t xml:space="preserve">US Air Force (Enlisted), Kinston Medical Specialists, Lenoir Community College</t>
  </si>
  <si>
    <t xml:space="preserve">ADVERSE ACCOUNTS (Charge-offs &amp; Collections)</t>
  </si>
  <si>
    <t xml:space="preserve">Creditor</t>
  </si>
  <si>
    <t xml:space="preserve">Type</t>
  </si>
  <si>
    <t xml:space="preserve">Opened</t>
  </si>
  <si>
    <t xml:space="preserve">Closed</t>
  </si>
  <si>
    <t xml:space="preserve">Balance</t>
  </si>
  <si>
    <t xml:space="preserve">High Bal</t>
  </si>
  <si>
    <t xml:space="preserve">Status</t>
  </si>
  <si>
    <t xml:space="preserve">Removes</t>
  </si>
  <si>
    <t xml:space="preserve">Monthly Pmt</t>
  </si>
  <si>
    <t xml:space="preserve">Tax Note</t>
  </si>
  <si>
    <t xml:space="preserve">Capital One</t>
  </si>
  <si>
    <t xml:space="preserve">Credit Card</t>
  </si>
  <si>
    <t xml:space="preserve">07/2019</t>
  </si>
  <si>
    <t xml:space="preserve">02/2021</t>
  </si>
  <si>
    <t xml:space="preserve">Paid C/O</t>
  </si>
  <si>
    <t xml:space="preserve">08/2027</t>
  </si>
  <si>
    <t xml:space="preserve">$0</t>
  </si>
  <si>
    <t xml:space="preserve">No 1099-C if paid in full</t>
  </si>
  <si>
    <t xml:space="preserve">Continental Finance</t>
  </si>
  <si>
    <t xml:space="preserve">11/2023</t>
  </si>
  <si>
    <t xml:space="preserve">05/2025</t>
  </si>
  <si>
    <t xml:space="preserve">Sold/C/O</t>
  </si>
  <si>
    <t xml:space="preserve">12/2031</t>
  </si>
  <si>
    <t xml:space="preserve">LVNV now owns — watch for 1099-C</t>
  </si>
  <si>
    <t xml:space="preserve">First Premier Bank</t>
  </si>
  <si>
    <t xml:space="preserve">09/2019</t>
  </si>
  <si>
    <t xml:space="preserve">12/2020</t>
  </si>
  <si>
    <t xml:space="preserve">Charge-off</t>
  </si>
  <si>
    <t xml:space="preserve">06/2027</t>
  </si>
  <si>
    <t xml:space="preserve">$627 still owed — may get 1099-C if settled</t>
  </si>
  <si>
    <t xml:space="preserve">Launch Servicing</t>
  </si>
  <si>
    <t xml:space="preserve">Student Loan</t>
  </si>
  <si>
    <t xml:space="preserve">01/2018</t>
  </si>
  <si>
    <t xml:space="preserve">05/2022</t>
  </si>
  <si>
    <t xml:space="preserve">C/O TTR</t>
  </si>
  <si>
    <t xml:space="preserve">09/2028</t>
  </si>
  <si>
    <t xml:space="preserve">Transferred to recovery — check if Nelnet absorbed</t>
  </si>
  <si>
    <t xml:space="preserve">Merrick Bank</t>
  </si>
  <si>
    <t xml:space="preserve">07/2023</t>
  </si>
  <si>
    <t xml:space="preserve">06/2025</t>
  </si>
  <si>
    <t xml:space="preserve">01/2032</t>
  </si>
  <si>
    <t xml:space="preserve">$1,657 active C/O — accruing interest</t>
  </si>
  <si>
    <t xml:space="preserve">LVNV (Credit One)</t>
  </si>
  <si>
    <t xml:space="preserve">Collection</t>
  </si>
  <si>
    <t xml:space="preserve">08/2025</t>
  </si>
  <si>
    <t xml:space="preserve">—</t>
  </si>
  <si>
    <t xml:space="preserve">Original: Credit One Bank N.A.</t>
  </si>
  <si>
    <t xml:space="preserve">LVNV (Verve/Contin.)</t>
  </si>
  <si>
    <t xml:space="preserve">Original: Verve Bank/Continental Finance</t>
  </si>
  <si>
    <t xml:space="preserve">TOTAL ADVERSE DEBT</t>
  </si>
  <si>
    <t xml:space="preserve">CURRENT ACCOUNTS (Good Standing)</t>
  </si>
  <si>
    <t xml:space="preserve">Terms</t>
  </si>
  <si>
    <t xml:space="preserve">Nelnet #1</t>
  </si>
  <si>
    <t xml:space="preserve">09/2011</t>
  </si>
  <si>
    <t xml:space="preserve">Current</t>
  </si>
  <si>
    <t xml:space="preserve">$4,500</t>
  </si>
  <si>
    <t xml:space="preserve">300 mo</t>
  </si>
  <si>
    <t xml:space="preserve">Interest may be deductible</t>
  </si>
  <si>
    <t xml:space="preserve">Nelnet #2</t>
  </si>
  <si>
    <t xml:space="preserve">08/2015</t>
  </si>
  <si>
    <t xml:space="preserve">Nelnet #3</t>
  </si>
  <si>
    <t xml:space="preserve">$6,000</t>
  </si>
  <si>
    <t xml:space="preserve">Nelnet #4</t>
  </si>
  <si>
    <t xml:space="preserve">02/2018</t>
  </si>
  <si>
    <t xml:space="preserve">$3,403</t>
  </si>
  <si>
    <t xml:space="preserve">Nelnet #5</t>
  </si>
  <si>
    <t xml:space="preserve">$5,833</t>
  </si>
  <si>
    <t xml:space="preserve">Nelnet #6</t>
  </si>
  <si>
    <t xml:space="preserve">07/2012</t>
  </si>
  <si>
    <t xml:space="preserve">$7,920</t>
  </si>
  <si>
    <t xml:space="preserve">Nelnet #7</t>
  </si>
  <si>
    <t xml:space="preserve">$4,628</t>
  </si>
  <si>
    <t xml:space="preserve">OneMain (active)</t>
  </si>
  <si>
    <t xml:space="preserve">Unsecured</t>
  </si>
  <si>
    <t xml:space="preserve">03/2024</t>
  </si>
  <si>
    <t xml:space="preserve">$4,447</t>
  </si>
  <si>
    <t xml:space="preserve">48 mo</t>
  </si>
  <si>
    <t xml:space="preserve">Interest NOT deductible (personal)</t>
  </si>
  <si>
    <t xml:space="preserve">TOTAL CURRENT DEBT</t>
  </si>
  <si>
    <t xml:space="preserve">CLOSED/PAID ACCOUNTS</t>
  </si>
  <si>
    <t xml:space="preserve">Credit One Bank</t>
  </si>
  <si>
    <t xml:space="preserve">09/2023</t>
  </si>
  <si>
    <t xml:space="preserve">10/2023</t>
  </si>
  <si>
    <t xml:space="preserve">Closed by grantor</t>
  </si>
  <si>
    <t xml:space="preserve">OneMain (2019)</t>
  </si>
  <si>
    <t xml:space="preserve">Secured</t>
  </si>
  <si>
    <t xml:space="preserve">06/2019</t>
  </si>
  <si>
    <t xml:space="preserve">Paid — refi'd</t>
  </si>
  <si>
    <t xml:space="preserve">OneMain (2018)</t>
  </si>
  <si>
    <t xml:space="preserve">OneMain (2016)</t>
  </si>
  <si>
    <t xml:space="preserve">04/2016</t>
  </si>
  <si>
    <t xml:space="preserve">SE Toyota Fin</t>
  </si>
  <si>
    <t xml:space="preserve">Auto</t>
  </si>
  <si>
    <t xml:space="preserve">10/2016</t>
  </si>
  <si>
    <t xml:space="preserve">Paid &amp; Closed</t>
  </si>
  <si>
    <t xml:space="preserve">Springleaf</t>
  </si>
  <si>
    <t xml:space="preserve">01/2015</t>
  </si>
  <si>
    <t xml:space="preserve">03/2016</t>
  </si>
  <si>
    <t xml:space="preserve">US Dept Ed/GLE</t>
  </si>
  <si>
    <t xml:space="preserve">01/2023</t>
  </si>
  <si>
    <t xml:space="preserve">Transferred to Nelnet</t>
  </si>
  <si>
    <t xml:space="preserve">US Dept Ed/GL</t>
  </si>
  <si>
    <t xml:space="preserve">WebBank/FreshStart</t>
  </si>
  <si>
    <t xml:space="preserve">Installment</t>
  </si>
  <si>
    <t xml:space="preserve">11/2018</t>
  </si>
  <si>
    <t xml:space="preserve">12/2018</t>
  </si>
  <si>
    <t xml:space="preserve">DEBT SNAPSHOT</t>
  </si>
  <si>
    <t xml:space="preserve">Total Student Loans (7 Nelnet)</t>
  </si>
  <si>
    <t xml:space="preserve">OneMain Personal Loan</t>
  </si>
  <si>
    <t xml:space="preserve">Active Charge-offs (First Premier + Merrick)</t>
  </si>
  <si>
    <t xml:space="preserve">Collections (2x LVNV)</t>
  </si>
  <si>
    <t xml:space="preserve">TOTAL DEBT</t>
  </si>
  <si>
    <t xml:space="preserve">MONTHLY DEBT OBLIGATION: $302/mo (student loans $135 + OneMain $167)</t>
  </si>
  <si>
    <t xml:space="preserve">DEBT-TO-INCOME: $302/$4,312 gross monthly = 7.0% DTI (excellent)</t>
  </si>
  <si>
    <t xml:space="preserve">SYRINA — DEBT RESOLUTION &amp; TAX STRATEGY</t>
  </si>
  <si>
    <t xml:space="preserve">⚠ CRITICAL TAX IMPLICATIONS</t>
  </si>
  <si>
    <t xml:space="preserve">1099-C RISK</t>
  </si>
  <si>
    <t xml:space="preserve">If any creditor forgives $600+ of debt, they issue 1099-C. The forgiven amount becomes TAXABLE INCOME on your return.</t>
  </si>
  <si>
    <t xml:space="preserve">Continental Finance was SOLD to LVNV ($1,521). If LVNV settles for less than owed, expect 1099-C for the difference.</t>
  </si>
  <si>
    <t xml:space="preserve">First Premier ($627) has been in C/O since Dec 2020. If they write it off entirely, a 1099-C may arrive.</t>
  </si>
  <si>
    <t xml:space="preserve">Merrick Bank ($1,657) charged off Sep 2025. High 1099-C risk if settled or written off in 2026.</t>
  </si>
  <si>
    <t xml:space="preserve">TOTAL 1099-C EXPOSURE: Up to $4,611 could become taxable income if all debts forgiven.</t>
  </si>
  <si>
    <t xml:space="preserve">At 12% bracket (MFJ), that's ~$553 additional federal tax. At 22% bracket, ~$1,014.</t>
  </si>
  <si>
    <t xml:space="preserve">STUDENT LOAN</t>
  </si>
  <si>
    <t xml:space="preserve">Syrina has 7 Nelnet loans totaling $43,446 with $135/mo combined payment.</t>
  </si>
  <si>
    <t xml:space="preserve">INTEREST</t>
  </si>
  <si>
    <t xml:space="preserve">Student loan interest is deductible up to $2,500/year (Form 1098-E). Need 1098-E from Nelnet.</t>
  </si>
  <si>
    <t xml:space="preserve">Income phase-out (MFJ 2025): $155K-$185K MAGI. Wimberly AGI $74K = FULL deduction available.</t>
  </si>
  <si>
    <t xml:space="preserve">At current balances, estimated 2025 interest: ~$2,000-2,500 (check 1098-E for exact).</t>
  </si>
  <si>
    <t xml:space="preserve">Deduction value at 12% bracket: $240-$300 tax savings.</t>
  </si>
  <si>
    <t xml:space="preserve">INSOLVENCY</t>
  </si>
  <si>
    <t xml:space="preserve">If Syrina was insolvent (debts &gt; assets) at time of debt cancellation, she can EXCLUDE 1099-C income.</t>
  </si>
  <si>
    <t xml:space="preserve">DEFENSE</t>
  </si>
  <si>
    <t xml:space="preserve">File Form 982 with tax return. Must prove total debts exceeded FMV of total assets.</t>
  </si>
  <si>
    <t xml:space="preserve">Given the debt load ($51K+), insolvency exclusion is very likely available.</t>
  </si>
  <si>
    <t xml:space="preserve">ONEMAIN LOAN</t>
  </si>
  <si>
    <t xml:space="preserve">$3,298 balance, $167/mo, 48-month term. Current and on schedule.</t>
  </si>
  <si>
    <t xml:space="preserve">Interest on personal loans is NOT deductible. Payoff date: ~Mar 2028.</t>
  </si>
  <si>
    <t xml:space="preserve">This was a refinance of a previous OneMain secured loan ($21,634 high balance).</t>
  </si>
  <si>
    <t xml:space="preserve">REMOVAL DATES</t>
  </si>
  <si>
    <t xml:space="preserve">Capital One C/O: removes 08/2027 (18 months)</t>
  </si>
  <si>
    <t xml:space="preserve">First Premier C/O: removes 06/2027 (16 months)</t>
  </si>
  <si>
    <t xml:space="preserve">Launch Servicing C/O: removes 09/2028</t>
  </si>
  <si>
    <t xml:space="preserve">Continental/LVNV: removes 12/2031</t>
  </si>
  <si>
    <t xml:space="preserve">Merrick Bank C/O: removes 01/2032</t>
  </si>
  <si>
    <t xml:space="preserve">LVNV (Credit One): removes 12/2031</t>
  </si>
  <si>
    <t xml:space="preserve">ACTION ITEMS</t>
  </si>
  <si>
    <t xml:space="preserve">1) Get 1098-E from Nelnet for student loan interest deduction</t>
  </si>
  <si>
    <t xml:space="preserve">2) Do NOT pay collections without negotiating pay-for-delete first</t>
  </si>
  <si>
    <t xml:space="preserve">3) Monitor for 1099-C forms from creditors in Jan-Feb each year</t>
  </si>
  <si>
    <t xml:space="preserve">4) If 1099-C received, evaluate insolvency exclusion (Form 982)</t>
  </si>
  <si>
    <t xml:space="preserve">5) Capital One &amp; First Premier fall off in ~16-18 months — do NOT reactivate</t>
  </si>
  <si>
    <t xml:space="preserve">6) Dispute any inaccuracies on TransUnion at transunion.com/dispute</t>
  </si>
  <si>
    <t xml:space="preserve">7) Consider filing MFJ — student loan interest deduction still available</t>
  </si>
  <si>
    <t xml:space="preserve">SYRINA — FEDERAL STUDENT LOANS (DEPT OF ED / NELNET) — Dec 2025</t>
  </si>
  <si>
    <t xml:space="preserve">Loan #</t>
  </si>
  <si>
    <t xml:space="preserve">Annual Pmt</t>
  </si>
  <si>
    <t xml:space="preserve">Term</t>
  </si>
  <si>
    <t xml:space="preserve">09/01/2011</t>
  </si>
  <si>
    <t xml:space="preserve">08/27/2015</t>
  </si>
  <si>
    <t xml:space="preserve">02/23/2018</t>
  </si>
  <si>
    <t xml:space="preserve">07/13/2012</t>
  </si>
  <si>
    <t xml:space="preserve">TOTAL</t>
  </si>
  <si>
    <t xml:space="preserve">TAX DEDUCTION NOTES</t>
  </si>
  <si>
    <t xml:space="preserve">Student loan interest deduction: up to $2,500/year on Form 1040 Line 21 (2025).</t>
  </si>
  <si>
    <t xml:space="preserve">Need Form 1098-E from Nelnet to claim. Request at nelnet.com or call (888) 486-4722.</t>
  </si>
  <si>
    <t xml:space="preserve">MFJ phase-out: $155K-$185K MAGI. Your combined AGI ($74,389) = FULL deduction eligible.</t>
  </si>
  <si>
    <t xml:space="preserve">Estimated 2025 interest paid: ~$1,620/year (combined $135/mo × 12). Exact on 1098-E.</t>
  </si>
  <si>
    <t xml:space="preserve">Deduction reduces AGI, saving ~$194-356 in federal taxes depending on bracket.</t>
  </si>
  <si>
    <t xml:space="preserve">All loans on income-driven repayment (IDR). Payment amounts consistent since Aug 2024.</t>
  </si>
  <si>
    <t xml:space="preserve">Prior servicer: US Dept of Education/Great Lakes — transferred to Nelnet Jan 2023.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</si>
</sst>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E74C3C"/>
      <name val="Arial"/>
      <family val="0"/>
      <charset val="1"/>
    </font>
    <font>
      <b val="true"/>
      <sz val="9"/>
      <color rgb="FF1B2A4A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EBEE"/>
        <bgColor rgb="FFFFF8E1"/>
      </patternFill>
    </fill>
    <fill>
      <patternFill patternType="solid">
        <fgColor rgb="FFD6E4F0"/>
        <bgColor rgb="FFE8F5E9"/>
      </patternFill>
    </fill>
    <fill>
      <patternFill patternType="solid">
        <fgColor rgb="FFE8F5E9"/>
        <bgColor rgb="FFFFF8E1"/>
      </patternFill>
    </fill>
    <fill>
      <patternFill patternType="solid">
        <fgColor rgb="FFFFF8E1"/>
        <bgColor rgb="FFFFEB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5E9"/>
      <rgbColor rgb="FF660066"/>
      <rgbColor rgb="FFE74C3C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498DB"/>
      <rgbColor rgb="FF33CCCC"/>
      <rgbColor rgb="FF99CC00"/>
      <rgbColor rgb="FFFFCC00"/>
      <rgbColor rgb="FFFF9900"/>
      <rgbColor rgb="FFE67E22"/>
      <rgbColor rgb="FF9B59B6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J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22"/>
    <col collapsed="false" customWidth="true" hidden="false" outlineLevel="0" max="9" min="8" style="0" width="12"/>
    <col collapsed="false" customWidth="true" hidden="false" outlineLevel="0" max="10" min="10" style="0" width="38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2" customFormat="false" ht="15" hidden="false" customHeight="false" outlineLevel="0" collapsed="false">
      <c r="A12" s="5" t="s">
        <v>16</v>
      </c>
    </row>
    <row r="13" customFormat="false" ht="15" hidden="false" customHeight="false" outlineLevel="0" collapsed="false">
      <c r="A13" s="6" t="s">
        <v>17</v>
      </c>
      <c r="B13" s="6" t="s">
        <v>18</v>
      </c>
      <c r="C13" s="6" t="s">
        <v>19</v>
      </c>
      <c r="D13" s="6" t="s">
        <v>20</v>
      </c>
      <c r="E13" s="6" t="s">
        <v>21</v>
      </c>
      <c r="F13" s="6" t="s">
        <v>22</v>
      </c>
      <c r="G13" s="6" t="s">
        <v>23</v>
      </c>
      <c r="H13" s="6" t="s">
        <v>24</v>
      </c>
      <c r="I13" s="6" t="s">
        <v>25</v>
      </c>
      <c r="J13" s="6" t="s">
        <v>26</v>
      </c>
    </row>
    <row r="14" customFormat="false" ht="15" hidden="false" customHeight="false" outlineLevel="0" collapsed="false">
      <c r="A14" s="7" t="s">
        <v>27</v>
      </c>
      <c r="B14" s="4" t="s">
        <v>28</v>
      </c>
      <c r="C14" s="4" t="s">
        <v>29</v>
      </c>
      <c r="D14" s="4" t="s">
        <v>30</v>
      </c>
      <c r="E14" s="8" t="n">
        <v>0</v>
      </c>
      <c r="F14" s="9" t="n">
        <v>669</v>
      </c>
      <c r="G14" s="7" t="s">
        <v>31</v>
      </c>
      <c r="H14" s="4" t="s">
        <v>32</v>
      </c>
      <c r="I14" s="4" t="s">
        <v>33</v>
      </c>
      <c r="J14" s="4" t="s">
        <v>34</v>
      </c>
    </row>
    <row r="15" customFormat="false" ht="15" hidden="false" customHeight="false" outlineLevel="0" collapsed="false">
      <c r="A15" s="7" t="s">
        <v>35</v>
      </c>
      <c r="B15" s="4" t="s">
        <v>28</v>
      </c>
      <c r="C15" s="4" t="s">
        <v>36</v>
      </c>
      <c r="D15" s="4" t="s">
        <v>37</v>
      </c>
      <c r="E15" s="8" t="n">
        <v>0</v>
      </c>
      <c r="F15" s="9" t="n">
        <v>1521</v>
      </c>
      <c r="G15" s="7" t="s">
        <v>38</v>
      </c>
      <c r="H15" s="4" t="s">
        <v>39</v>
      </c>
      <c r="I15" s="4" t="s">
        <v>33</v>
      </c>
      <c r="J15" s="4" t="s">
        <v>40</v>
      </c>
    </row>
    <row r="16" customFormat="false" ht="15" hidden="false" customHeight="false" outlineLevel="0" collapsed="false">
      <c r="A16" s="7" t="s">
        <v>41</v>
      </c>
      <c r="B16" s="4" t="s">
        <v>28</v>
      </c>
      <c r="C16" s="4" t="s">
        <v>42</v>
      </c>
      <c r="D16" s="4" t="s">
        <v>43</v>
      </c>
      <c r="E16" s="8" t="n">
        <v>627</v>
      </c>
      <c r="F16" s="9" t="n">
        <v>627</v>
      </c>
      <c r="G16" s="7" t="s">
        <v>44</v>
      </c>
      <c r="H16" s="4" t="s">
        <v>45</v>
      </c>
      <c r="I16" s="4" t="s">
        <v>33</v>
      </c>
      <c r="J16" s="4" t="s">
        <v>46</v>
      </c>
    </row>
    <row r="17" customFormat="false" ht="15" hidden="false" customHeight="false" outlineLevel="0" collapsed="false">
      <c r="A17" s="7" t="s">
        <v>47</v>
      </c>
      <c r="B17" s="4" t="s">
        <v>48</v>
      </c>
      <c r="C17" s="4" t="s">
        <v>49</v>
      </c>
      <c r="D17" s="4" t="s">
        <v>50</v>
      </c>
      <c r="E17" s="8" t="n">
        <v>0</v>
      </c>
      <c r="F17" s="9" t="n">
        <v>5807</v>
      </c>
      <c r="G17" s="7" t="s">
        <v>51</v>
      </c>
      <c r="H17" s="4" t="s">
        <v>52</v>
      </c>
      <c r="I17" s="4" t="s">
        <v>33</v>
      </c>
      <c r="J17" s="4" t="s">
        <v>53</v>
      </c>
    </row>
    <row r="18" customFormat="false" ht="15" hidden="false" customHeight="false" outlineLevel="0" collapsed="false">
      <c r="A18" s="7" t="s">
        <v>54</v>
      </c>
      <c r="B18" s="4" t="s">
        <v>28</v>
      </c>
      <c r="C18" s="4" t="s">
        <v>55</v>
      </c>
      <c r="D18" s="4" t="s">
        <v>56</v>
      </c>
      <c r="E18" s="8" t="n">
        <v>1657</v>
      </c>
      <c r="F18" s="9" t="n">
        <v>1657</v>
      </c>
      <c r="G18" s="7" t="s">
        <v>44</v>
      </c>
      <c r="H18" s="4" t="s">
        <v>57</v>
      </c>
      <c r="I18" s="4" t="s">
        <v>33</v>
      </c>
      <c r="J18" s="4" t="s">
        <v>58</v>
      </c>
    </row>
    <row r="19" customFormat="false" ht="15" hidden="false" customHeight="false" outlineLevel="0" collapsed="false">
      <c r="A19" s="7" t="s">
        <v>59</v>
      </c>
      <c r="B19" s="4" t="s">
        <v>60</v>
      </c>
      <c r="C19" s="4" t="s">
        <v>61</v>
      </c>
      <c r="D19" s="4" t="s">
        <v>62</v>
      </c>
      <c r="E19" s="8" t="n">
        <v>806</v>
      </c>
      <c r="F19" s="9" t="n">
        <v>834</v>
      </c>
      <c r="G19" s="7" t="s">
        <v>60</v>
      </c>
      <c r="H19" s="4" t="s">
        <v>39</v>
      </c>
      <c r="I19" s="4" t="s">
        <v>33</v>
      </c>
      <c r="J19" s="4" t="s">
        <v>63</v>
      </c>
    </row>
    <row r="20" customFormat="false" ht="15" hidden="false" customHeight="false" outlineLevel="0" collapsed="false">
      <c r="A20" s="7" t="s">
        <v>64</v>
      </c>
      <c r="B20" s="4" t="s">
        <v>60</v>
      </c>
      <c r="C20" s="4" t="s">
        <v>56</v>
      </c>
      <c r="D20" s="4" t="s">
        <v>62</v>
      </c>
      <c r="E20" s="8" t="n">
        <v>1521</v>
      </c>
      <c r="F20" s="9" t="n">
        <v>1521</v>
      </c>
      <c r="G20" s="7" t="s">
        <v>60</v>
      </c>
      <c r="H20" s="4" t="s">
        <v>39</v>
      </c>
      <c r="I20" s="4" t="s">
        <v>33</v>
      </c>
      <c r="J20" s="4" t="s">
        <v>65</v>
      </c>
    </row>
    <row r="21" customFormat="false" ht="15" hidden="false" customHeight="false" outlineLevel="0" collapsed="false">
      <c r="A21" s="10" t="s">
        <v>66</v>
      </c>
      <c r="B21" s="11"/>
      <c r="C21" s="11"/>
      <c r="D21" s="11"/>
      <c r="E21" s="12" t="n">
        <f aca="false">SUM(E14:E20)</f>
        <v>4611</v>
      </c>
      <c r="F21" s="12" t="n">
        <f aca="false">SUM(F14:F20)</f>
        <v>12636</v>
      </c>
      <c r="G21" s="11"/>
      <c r="H21" s="11"/>
      <c r="I21" s="11"/>
      <c r="J21" s="11"/>
    </row>
    <row r="23" customFormat="false" ht="15" hidden="false" customHeight="false" outlineLevel="0" collapsed="false">
      <c r="A23" s="13" t="s">
        <v>67</v>
      </c>
    </row>
    <row r="24" customFormat="false" ht="15" hidden="false" customHeight="false" outlineLevel="0" collapsed="false">
      <c r="A24" s="6" t="s">
        <v>17</v>
      </c>
      <c r="B24" s="6" t="s">
        <v>18</v>
      </c>
      <c r="C24" s="6" t="s">
        <v>19</v>
      </c>
      <c r="D24" s="6" t="s">
        <v>21</v>
      </c>
      <c r="E24" s="6" t="s">
        <v>25</v>
      </c>
      <c r="F24" s="6" t="s">
        <v>23</v>
      </c>
      <c r="G24" s="6" t="s">
        <v>22</v>
      </c>
      <c r="H24" s="6" t="s">
        <v>68</v>
      </c>
      <c r="I24" s="6" t="s">
        <v>26</v>
      </c>
    </row>
    <row r="25" customFormat="false" ht="15" hidden="false" customHeight="false" outlineLevel="0" collapsed="false">
      <c r="A25" s="14" t="s">
        <v>69</v>
      </c>
      <c r="B25" s="4" t="s">
        <v>48</v>
      </c>
      <c r="C25" s="4" t="s">
        <v>70</v>
      </c>
      <c r="D25" s="15" t="n">
        <v>5344</v>
      </c>
      <c r="E25" s="9" t="n">
        <v>16</v>
      </c>
      <c r="F25" s="14" t="s">
        <v>71</v>
      </c>
      <c r="G25" s="4" t="s">
        <v>72</v>
      </c>
      <c r="H25" s="4" t="s">
        <v>73</v>
      </c>
      <c r="I25" s="4" t="s">
        <v>74</v>
      </c>
    </row>
    <row r="26" customFormat="false" ht="15" hidden="false" customHeight="false" outlineLevel="0" collapsed="false">
      <c r="A26" s="14" t="s">
        <v>75</v>
      </c>
      <c r="B26" s="4" t="s">
        <v>48</v>
      </c>
      <c r="C26" s="4" t="s">
        <v>76</v>
      </c>
      <c r="D26" s="15" t="n">
        <v>4930</v>
      </c>
      <c r="E26" s="9" t="n">
        <v>17</v>
      </c>
      <c r="F26" s="14" t="s">
        <v>71</v>
      </c>
      <c r="G26" s="4" t="s">
        <v>72</v>
      </c>
      <c r="H26" s="4" t="s">
        <v>73</v>
      </c>
      <c r="I26" s="4" t="s">
        <v>74</v>
      </c>
    </row>
    <row r="27" customFormat="false" ht="15" hidden="false" customHeight="false" outlineLevel="0" collapsed="false">
      <c r="A27" s="14" t="s">
        <v>77</v>
      </c>
      <c r="B27" s="4" t="s">
        <v>48</v>
      </c>
      <c r="C27" s="4" t="s">
        <v>76</v>
      </c>
      <c r="D27" s="15" t="n">
        <v>7399</v>
      </c>
      <c r="E27" s="9" t="n">
        <v>25</v>
      </c>
      <c r="F27" s="14" t="s">
        <v>71</v>
      </c>
      <c r="G27" s="4" t="s">
        <v>78</v>
      </c>
      <c r="H27" s="4" t="s">
        <v>73</v>
      </c>
      <c r="I27" s="4" t="s">
        <v>74</v>
      </c>
    </row>
    <row r="28" customFormat="false" ht="15" hidden="false" customHeight="false" outlineLevel="0" collapsed="false">
      <c r="A28" s="14" t="s">
        <v>79</v>
      </c>
      <c r="B28" s="4" t="s">
        <v>48</v>
      </c>
      <c r="C28" s="4" t="s">
        <v>80</v>
      </c>
      <c r="D28" s="15" t="n">
        <v>3587</v>
      </c>
      <c r="E28" s="9" t="n">
        <v>12</v>
      </c>
      <c r="F28" s="14" t="s">
        <v>71</v>
      </c>
      <c r="G28" s="4" t="s">
        <v>81</v>
      </c>
      <c r="H28" s="4" t="s">
        <v>73</v>
      </c>
      <c r="I28" s="4" t="s">
        <v>74</v>
      </c>
    </row>
    <row r="29" customFormat="false" ht="15" hidden="false" customHeight="false" outlineLevel="0" collapsed="false">
      <c r="A29" s="14" t="s">
        <v>82</v>
      </c>
      <c r="B29" s="4" t="s">
        <v>48</v>
      </c>
      <c r="C29" s="4" t="s">
        <v>80</v>
      </c>
      <c r="D29" s="15" t="n">
        <v>6486</v>
      </c>
      <c r="E29" s="9" t="n">
        <v>22</v>
      </c>
      <c r="F29" s="14" t="s">
        <v>71</v>
      </c>
      <c r="G29" s="4" t="s">
        <v>83</v>
      </c>
      <c r="H29" s="4" t="s">
        <v>73</v>
      </c>
      <c r="I29" s="4" t="s">
        <v>74</v>
      </c>
    </row>
    <row r="30" customFormat="false" ht="15" hidden="false" customHeight="false" outlineLevel="0" collapsed="false">
      <c r="A30" s="14" t="s">
        <v>84</v>
      </c>
      <c r="B30" s="4" t="s">
        <v>48</v>
      </c>
      <c r="C30" s="4" t="s">
        <v>85</v>
      </c>
      <c r="D30" s="15" t="n">
        <v>10239</v>
      </c>
      <c r="E30" s="9" t="n">
        <v>28</v>
      </c>
      <c r="F30" s="14" t="s">
        <v>71</v>
      </c>
      <c r="G30" s="4" t="s">
        <v>86</v>
      </c>
      <c r="H30" s="4" t="s">
        <v>73</v>
      </c>
      <c r="I30" s="4" t="s">
        <v>74</v>
      </c>
    </row>
    <row r="31" customFormat="false" ht="15" hidden="false" customHeight="false" outlineLevel="0" collapsed="false">
      <c r="A31" s="14" t="s">
        <v>87</v>
      </c>
      <c r="B31" s="4" t="s">
        <v>48</v>
      </c>
      <c r="C31" s="4" t="s">
        <v>85</v>
      </c>
      <c r="D31" s="15" t="n">
        <v>5461</v>
      </c>
      <c r="E31" s="9" t="n">
        <v>15</v>
      </c>
      <c r="F31" s="14" t="s">
        <v>71</v>
      </c>
      <c r="G31" s="4" t="s">
        <v>88</v>
      </c>
      <c r="H31" s="4" t="s">
        <v>73</v>
      </c>
      <c r="I31" s="4" t="s">
        <v>74</v>
      </c>
    </row>
    <row r="32" customFormat="false" ht="15" hidden="false" customHeight="false" outlineLevel="0" collapsed="false">
      <c r="A32" s="14" t="s">
        <v>89</v>
      </c>
      <c r="B32" s="4" t="s">
        <v>90</v>
      </c>
      <c r="C32" s="4" t="s">
        <v>91</v>
      </c>
      <c r="D32" s="15" t="n">
        <v>3298</v>
      </c>
      <c r="E32" s="9" t="n">
        <v>167</v>
      </c>
      <c r="F32" s="14" t="s">
        <v>71</v>
      </c>
      <c r="G32" s="4" t="s">
        <v>92</v>
      </c>
      <c r="H32" s="4" t="s">
        <v>93</v>
      </c>
      <c r="I32" s="4" t="s">
        <v>94</v>
      </c>
    </row>
    <row r="33" customFormat="false" ht="15" hidden="false" customHeight="false" outlineLevel="0" collapsed="false">
      <c r="A33" s="10" t="s">
        <v>95</v>
      </c>
      <c r="B33" s="11"/>
      <c r="C33" s="11"/>
      <c r="D33" s="12" t="n">
        <f aca="false">SUM(D25:D32)</f>
        <v>46744</v>
      </c>
      <c r="E33" s="12" t="n">
        <f aca="false">SUM(E25:E32)</f>
        <v>302</v>
      </c>
      <c r="F33" s="11"/>
      <c r="G33" s="11"/>
      <c r="H33" s="11"/>
      <c r="I33" s="11"/>
    </row>
    <row r="35" customFormat="false" ht="15" hidden="false" customHeight="false" outlineLevel="0" collapsed="false">
      <c r="A35" s="2" t="s">
        <v>96</v>
      </c>
    </row>
    <row r="36" customFormat="false" ht="15" hidden="false" customHeight="false" outlineLevel="0" collapsed="false">
      <c r="A36" s="6" t="s">
        <v>17</v>
      </c>
      <c r="B36" s="6" t="s">
        <v>18</v>
      </c>
      <c r="C36" s="6" t="s">
        <v>19</v>
      </c>
      <c r="D36" s="6" t="s">
        <v>20</v>
      </c>
      <c r="E36" s="6" t="s">
        <v>22</v>
      </c>
      <c r="F36" s="6" t="s">
        <v>23</v>
      </c>
    </row>
    <row r="37" customFormat="false" ht="15" hidden="false" customHeight="false" outlineLevel="0" collapsed="false">
      <c r="A37" s="4" t="s">
        <v>97</v>
      </c>
      <c r="B37" s="4" t="s">
        <v>28</v>
      </c>
      <c r="C37" s="4" t="s">
        <v>98</v>
      </c>
      <c r="D37" s="4" t="s">
        <v>99</v>
      </c>
      <c r="E37" s="9" t="n">
        <v>104</v>
      </c>
      <c r="F37" s="4" t="s">
        <v>100</v>
      </c>
    </row>
    <row r="38" customFormat="false" ht="15" hidden="false" customHeight="false" outlineLevel="0" collapsed="false">
      <c r="A38" s="4" t="s">
        <v>101</v>
      </c>
      <c r="B38" s="4" t="s">
        <v>102</v>
      </c>
      <c r="C38" s="4" t="s">
        <v>103</v>
      </c>
      <c r="D38" s="4" t="s">
        <v>91</v>
      </c>
      <c r="E38" s="9" t="n">
        <v>21634</v>
      </c>
      <c r="F38" s="4" t="s">
        <v>104</v>
      </c>
    </row>
    <row r="39" customFormat="false" ht="15" hidden="false" customHeight="false" outlineLevel="0" collapsed="false">
      <c r="A39" s="4" t="s">
        <v>105</v>
      </c>
      <c r="B39" s="4" t="s">
        <v>102</v>
      </c>
      <c r="C39" s="4" t="s">
        <v>49</v>
      </c>
      <c r="D39" s="4" t="s">
        <v>103</v>
      </c>
      <c r="E39" s="9" t="n">
        <v>21031</v>
      </c>
      <c r="F39" s="4" t="s">
        <v>104</v>
      </c>
    </row>
    <row r="40" customFormat="false" ht="15" hidden="false" customHeight="false" outlineLevel="0" collapsed="false">
      <c r="A40" s="4" t="s">
        <v>106</v>
      </c>
      <c r="B40" s="4" t="s">
        <v>102</v>
      </c>
      <c r="C40" s="4" t="s">
        <v>107</v>
      </c>
      <c r="D40" s="4" t="s">
        <v>49</v>
      </c>
      <c r="E40" s="9" t="n">
        <v>3114</v>
      </c>
      <c r="F40" s="4" t="s">
        <v>104</v>
      </c>
    </row>
    <row r="41" customFormat="false" ht="15" hidden="false" customHeight="false" outlineLevel="0" collapsed="false">
      <c r="A41" s="4" t="s">
        <v>108</v>
      </c>
      <c r="B41" s="4" t="s">
        <v>109</v>
      </c>
      <c r="C41" s="4" t="s">
        <v>110</v>
      </c>
      <c r="D41" s="4" t="s">
        <v>49</v>
      </c>
      <c r="E41" s="9" t="n">
        <v>19656</v>
      </c>
      <c r="F41" s="4" t="s">
        <v>111</v>
      </c>
    </row>
    <row r="42" customFormat="false" ht="15" hidden="false" customHeight="false" outlineLevel="0" collapsed="false">
      <c r="A42" s="4" t="s">
        <v>112</v>
      </c>
      <c r="B42" s="4" t="s">
        <v>102</v>
      </c>
      <c r="C42" s="4" t="s">
        <v>113</v>
      </c>
      <c r="D42" s="4" t="s">
        <v>114</v>
      </c>
      <c r="E42" s="9" t="n">
        <v>7103</v>
      </c>
      <c r="F42" s="4" t="s">
        <v>104</v>
      </c>
    </row>
    <row r="43" customFormat="false" ht="15" hidden="false" customHeight="false" outlineLevel="0" collapsed="false">
      <c r="A43" s="4" t="s">
        <v>115</v>
      </c>
      <c r="B43" s="4" t="s">
        <v>48</v>
      </c>
      <c r="C43" s="4" t="s">
        <v>85</v>
      </c>
      <c r="D43" s="4" t="s">
        <v>116</v>
      </c>
      <c r="E43" s="9" t="n">
        <v>12548</v>
      </c>
      <c r="F43" s="4" t="s">
        <v>117</v>
      </c>
    </row>
    <row r="44" customFormat="false" ht="15" hidden="false" customHeight="false" outlineLevel="0" collapsed="false">
      <c r="A44" s="4" t="s">
        <v>118</v>
      </c>
      <c r="B44" s="4" t="s">
        <v>48</v>
      </c>
      <c r="C44" s="4" t="s">
        <v>70</v>
      </c>
      <c r="D44" s="4" t="s">
        <v>116</v>
      </c>
      <c r="E44" s="9" t="n">
        <v>24236</v>
      </c>
      <c r="F44" s="4" t="s">
        <v>117</v>
      </c>
    </row>
    <row r="45" customFormat="false" ht="15" hidden="false" customHeight="false" outlineLevel="0" collapsed="false">
      <c r="A45" s="4" t="s">
        <v>119</v>
      </c>
      <c r="B45" s="4" t="s">
        <v>120</v>
      </c>
      <c r="C45" s="4" t="s">
        <v>121</v>
      </c>
      <c r="D45" s="4" t="s">
        <v>122</v>
      </c>
      <c r="E45" s="9" t="n">
        <v>129</v>
      </c>
      <c r="F45" s="4" t="s">
        <v>111</v>
      </c>
    </row>
    <row r="48" customFormat="false" ht="15" hidden="false" customHeight="false" outlineLevel="0" collapsed="false">
      <c r="A48" s="16" t="s">
        <v>123</v>
      </c>
    </row>
    <row r="49" customFormat="false" ht="15" hidden="false" customHeight="false" outlineLevel="0" collapsed="false">
      <c r="A49" s="4" t="s">
        <v>124</v>
      </c>
      <c r="B49" s="9" t="n">
        <v>43446</v>
      </c>
      <c r="C49" s="9" t="n">
        <v>135</v>
      </c>
    </row>
    <row r="50" customFormat="false" ht="15" hidden="false" customHeight="false" outlineLevel="0" collapsed="false">
      <c r="A50" s="4" t="s">
        <v>125</v>
      </c>
      <c r="B50" s="9" t="n">
        <v>3298</v>
      </c>
      <c r="C50" s="9" t="n">
        <v>167</v>
      </c>
    </row>
    <row r="51" customFormat="false" ht="15" hidden="false" customHeight="false" outlineLevel="0" collapsed="false">
      <c r="A51" s="4" t="s">
        <v>126</v>
      </c>
      <c r="B51" s="9" t="n">
        <v>2284</v>
      </c>
      <c r="C51" s="9" t="n">
        <v>0</v>
      </c>
    </row>
    <row r="52" customFormat="false" ht="15" hidden="false" customHeight="false" outlineLevel="0" collapsed="false">
      <c r="A52" s="4" t="s">
        <v>127</v>
      </c>
      <c r="B52" s="9" t="n">
        <v>2327</v>
      </c>
      <c r="C52" s="9" t="n">
        <v>0</v>
      </c>
    </row>
    <row r="53" customFormat="false" ht="15" hidden="false" customHeight="false" outlineLevel="0" collapsed="false">
      <c r="A53" s="17" t="s">
        <v>128</v>
      </c>
      <c r="B53" s="18" t="n">
        <v>51355</v>
      </c>
      <c r="C53" s="19" t="n">
        <v>302</v>
      </c>
    </row>
    <row r="55" customFormat="false" ht="15" hidden="false" customHeight="false" outlineLevel="0" collapsed="false">
      <c r="A55" s="2" t="s">
        <v>129</v>
      </c>
    </row>
    <row r="56" customFormat="false" ht="15" hidden="false" customHeight="false" outlineLevel="0" collapsed="false">
      <c r="A56" s="20" t="s">
        <v>130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131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1" t="s">
        <v>132</v>
      </c>
    </row>
    <row r="4" customFormat="false" ht="15" hidden="false" customHeight="false" outlineLevel="0" collapsed="false">
      <c r="A4" s="22" t="s">
        <v>133</v>
      </c>
      <c r="B4" s="23" t="s">
        <v>134</v>
      </c>
      <c r="C4" s="23"/>
      <c r="D4" s="23"/>
      <c r="E4" s="23"/>
      <c r="F4" s="23"/>
    </row>
    <row r="5" customFormat="false" ht="15" hidden="false" customHeight="false" outlineLevel="0" collapsed="false">
      <c r="B5" s="23" t="s">
        <v>135</v>
      </c>
      <c r="C5" s="23"/>
      <c r="D5" s="23"/>
      <c r="E5" s="23"/>
      <c r="F5" s="23"/>
    </row>
    <row r="6" customFormat="false" ht="15" hidden="false" customHeight="false" outlineLevel="0" collapsed="false">
      <c r="B6" s="23" t="s">
        <v>136</v>
      </c>
      <c r="C6" s="23"/>
      <c r="D6" s="23"/>
      <c r="E6" s="23"/>
      <c r="F6" s="23"/>
    </row>
    <row r="7" customFormat="false" ht="15" hidden="false" customHeight="false" outlineLevel="0" collapsed="false">
      <c r="B7" s="23" t="s">
        <v>137</v>
      </c>
      <c r="C7" s="23"/>
      <c r="D7" s="23"/>
      <c r="E7" s="23"/>
      <c r="F7" s="23"/>
    </row>
    <row r="8" customFormat="false" ht="15" hidden="false" customHeight="false" outlineLevel="0" collapsed="false">
      <c r="B8" s="23" t="s">
        <v>138</v>
      </c>
      <c r="C8" s="23"/>
      <c r="D8" s="23"/>
      <c r="E8" s="23"/>
      <c r="F8" s="23"/>
    </row>
    <row r="9" customFormat="false" ht="15" hidden="false" customHeight="false" outlineLevel="0" collapsed="false">
      <c r="B9" s="23" t="s">
        <v>139</v>
      </c>
      <c r="C9" s="23"/>
      <c r="D9" s="23"/>
      <c r="E9" s="23"/>
      <c r="F9" s="23"/>
    </row>
    <row r="10" customFormat="false" ht="15" hidden="false" customHeight="false" outlineLevel="0" collapsed="false">
      <c r="B10" s="23"/>
      <c r="C10" s="23"/>
      <c r="D10" s="23"/>
      <c r="E10" s="23"/>
      <c r="F10" s="23"/>
    </row>
    <row r="11" customFormat="false" ht="15" hidden="false" customHeight="false" outlineLevel="0" collapsed="false">
      <c r="A11" s="22" t="s">
        <v>140</v>
      </c>
      <c r="B11" s="23" t="s">
        <v>141</v>
      </c>
      <c r="C11" s="23"/>
      <c r="D11" s="23"/>
      <c r="E11" s="23"/>
      <c r="F11" s="23"/>
    </row>
    <row r="12" customFormat="false" ht="15" hidden="false" customHeight="false" outlineLevel="0" collapsed="false">
      <c r="A12" s="22" t="s">
        <v>142</v>
      </c>
      <c r="B12" s="23" t="s">
        <v>143</v>
      </c>
      <c r="C12" s="23"/>
      <c r="D12" s="23"/>
      <c r="E12" s="23"/>
      <c r="F12" s="23"/>
    </row>
    <row r="13" customFormat="false" ht="15" hidden="false" customHeight="false" outlineLevel="0" collapsed="false">
      <c r="B13" s="23" t="s">
        <v>144</v>
      </c>
      <c r="C13" s="23"/>
      <c r="D13" s="23"/>
      <c r="E13" s="23"/>
      <c r="F13" s="23"/>
    </row>
    <row r="14" customFormat="false" ht="15" hidden="false" customHeight="false" outlineLevel="0" collapsed="false">
      <c r="B14" s="23" t="s">
        <v>145</v>
      </c>
      <c r="C14" s="23"/>
      <c r="D14" s="23"/>
      <c r="E14" s="23"/>
      <c r="F14" s="23"/>
    </row>
    <row r="15" customFormat="false" ht="15" hidden="false" customHeight="false" outlineLevel="0" collapsed="false">
      <c r="B15" s="23" t="s">
        <v>146</v>
      </c>
      <c r="C15" s="23"/>
      <c r="D15" s="23"/>
      <c r="E15" s="23"/>
      <c r="F15" s="23"/>
    </row>
    <row r="16" customFormat="false" ht="15" hidden="false" customHeight="false" outlineLevel="0" collapsed="false">
      <c r="B16" s="23"/>
      <c r="C16" s="23"/>
      <c r="D16" s="23"/>
      <c r="E16" s="23"/>
      <c r="F16" s="23"/>
    </row>
    <row r="17" customFormat="false" ht="15" hidden="false" customHeight="false" outlineLevel="0" collapsed="false">
      <c r="A17" s="22" t="s">
        <v>147</v>
      </c>
      <c r="B17" s="23" t="s">
        <v>148</v>
      </c>
      <c r="C17" s="23"/>
      <c r="D17" s="23"/>
      <c r="E17" s="23"/>
      <c r="F17" s="23"/>
    </row>
    <row r="18" customFormat="false" ht="15" hidden="false" customHeight="false" outlineLevel="0" collapsed="false">
      <c r="A18" s="22" t="s">
        <v>149</v>
      </c>
      <c r="B18" s="23" t="s">
        <v>150</v>
      </c>
      <c r="C18" s="23"/>
      <c r="D18" s="23"/>
      <c r="E18" s="23"/>
      <c r="F18" s="23"/>
    </row>
    <row r="19" customFormat="false" ht="15" hidden="false" customHeight="false" outlineLevel="0" collapsed="false">
      <c r="B19" s="23" t="s">
        <v>151</v>
      </c>
      <c r="C19" s="23"/>
      <c r="D19" s="23"/>
      <c r="E19" s="23"/>
      <c r="F19" s="23"/>
    </row>
    <row r="20" customFormat="false" ht="15" hidden="false" customHeight="false" outlineLevel="0" collapsed="false">
      <c r="B20" s="23"/>
      <c r="C20" s="23"/>
      <c r="D20" s="23"/>
      <c r="E20" s="23"/>
      <c r="F20" s="23"/>
    </row>
    <row r="21" customFormat="false" ht="15" hidden="false" customHeight="false" outlineLevel="0" collapsed="false">
      <c r="A21" s="22" t="s">
        <v>152</v>
      </c>
      <c r="B21" s="23" t="s">
        <v>153</v>
      </c>
      <c r="C21" s="23"/>
      <c r="D21" s="23"/>
      <c r="E21" s="23"/>
      <c r="F21" s="23"/>
    </row>
    <row r="22" customFormat="false" ht="15" hidden="false" customHeight="false" outlineLevel="0" collapsed="false">
      <c r="B22" s="23" t="s">
        <v>154</v>
      </c>
      <c r="C22" s="23"/>
      <c r="D22" s="23"/>
      <c r="E22" s="23"/>
      <c r="F22" s="23"/>
    </row>
    <row r="23" customFormat="false" ht="15" hidden="false" customHeight="false" outlineLevel="0" collapsed="false">
      <c r="B23" s="23" t="s">
        <v>155</v>
      </c>
      <c r="C23" s="23"/>
      <c r="D23" s="23"/>
      <c r="E23" s="23"/>
      <c r="F23" s="23"/>
    </row>
    <row r="24" customFormat="false" ht="15" hidden="false" customHeight="false" outlineLevel="0" collapsed="false">
      <c r="B24" s="23"/>
      <c r="C24" s="23"/>
      <c r="D24" s="23"/>
      <c r="E24" s="23"/>
      <c r="F24" s="23"/>
    </row>
    <row r="25" customFormat="false" ht="15" hidden="false" customHeight="false" outlineLevel="0" collapsed="false">
      <c r="A25" s="22" t="s">
        <v>156</v>
      </c>
      <c r="B25" s="23" t="s">
        <v>157</v>
      </c>
      <c r="C25" s="23"/>
      <c r="D25" s="23"/>
      <c r="E25" s="23"/>
      <c r="F25" s="23"/>
    </row>
    <row r="26" customFormat="false" ht="15" hidden="false" customHeight="false" outlineLevel="0" collapsed="false">
      <c r="B26" s="23" t="s">
        <v>158</v>
      </c>
      <c r="C26" s="23"/>
      <c r="D26" s="23"/>
      <c r="E26" s="23"/>
      <c r="F26" s="23"/>
    </row>
    <row r="27" customFormat="false" ht="15" hidden="false" customHeight="false" outlineLevel="0" collapsed="false">
      <c r="B27" s="23" t="s">
        <v>159</v>
      </c>
      <c r="C27" s="23"/>
      <c r="D27" s="23"/>
      <c r="E27" s="23"/>
      <c r="F27" s="23"/>
    </row>
    <row r="28" customFormat="false" ht="15" hidden="false" customHeight="false" outlineLevel="0" collapsed="false">
      <c r="B28" s="23" t="s">
        <v>160</v>
      </c>
      <c r="C28" s="23"/>
      <c r="D28" s="23"/>
      <c r="E28" s="23"/>
      <c r="F28" s="23"/>
    </row>
    <row r="29" customFormat="false" ht="15" hidden="false" customHeight="false" outlineLevel="0" collapsed="false">
      <c r="B29" s="23" t="s">
        <v>161</v>
      </c>
      <c r="C29" s="23"/>
      <c r="D29" s="23"/>
      <c r="E29" s="23"/>
      <c r="F29" s="23"/>
    </row>
    <row r="30" customFormat="false" ht="15" hidden="false" customHeight="false" outlineLevel="0" collapsed="false">
      <c r="B30" s="23" t="s">
        <v>162</v>
      </c>
      <c r="C30" s="23"/>
      <c r="D30" s="23"/>
      <c r="E30" s="23"/>
      <c r="F30" s="23"/>
    </row>
    <row r="31" customFormat="false" ht="15" hidden="false" customHeight="false" outlineLevel="0" collapsed="false">
      <c r="B31" s="23"/>
      <c r="C31" s="23"/>
      <c r="D31" s="23"/>
      <c r="E31" s="23"/>
      <c r="F31" s="23"/>
    </row>
    <row r="32" customFormat="false" ht="15" hidden="false" customHeight="false" outlineLevel="0" collapsed="false">
      <c r="A32" s="22" t="s">
        <v>163</v>
      </c>
      <c r="B32" s="23" t="s">
        <v>164</v>
      </c>
      <c r="C32" s="23"/>
      <c r="D32" s="23"/>
      <c r="E32" s="23"/>
      <c r="F32" s="23"/>
    </row>
    <row r="33" customFormat="false" ht="15" hidden="false" customHeight="false" outlineLevel="0" collapsed="false">
      <c r="B33" s="23" t="s">
        <v>165</v>
      </c>
      <c r="C33" s="23"/>
      <c r="D33" s="23"/>
      <c r="E33" s="23"/>
      <c r="F33" s="23"/>
    </row>
    <row r="34" customFormat="false" ht="15" hidden="false" customHeight="false" outlineLevel="0" collapsed="false">
      <c r="B34" s="23" t="s">
        <v>166</v>
      </c>
      <c r="C34" s="23"/>
      <c r="D34" s="23"/>
      <c r="E34" s="23"/>
      <c r="F34" s="23"/>
    </row>
    <row r="35" customFormat="false" ht="15" hidden="false" customHeight="false" outlineLevel="0" collapsed="false">
      <c r="B35" s="23" t="s">
        <v>167</v>
      </c>
      <c r="C35" s="23"/>
      <c r="D35" s="23"/>
      <c r="E35" s="23"/>
      <c r="F35" s="23"/>
    </row>
    <row r="36" customFormat="false" ht="15" hidden="false" customHeight="false" outlineLevel="0" collapsed="false">
      <c r="B36" s="23" t="s">
        <v>168</v>
      </c>
      <c r="C36" s="23"/>
      <c r="D36" s="23"/>
      <c r="E36" s="23"/>
      <c r="F36" s="23"/>
    </row>
    <row r="37" customFormat="false" ht="15" hidden="false" customHeight="false" outlineLevel="0" collapsed="false">
      <c r="B37" s="23" t="s">
        <v>169</v>
      </c>
      <c r="C37" s="23"/>
      <c r="D37" s="23"/>
      <c r="E37" s="23"/>
      <c r="F37" s="23"/>
    </row>
    <row r="38" customFormat="false" ht="15" hidden="false" customHeight="false" outlineLevel="0" collapsed="false">
      <c r="B38" s="23" t="s">
        <v>170</v>
      </c>
      <c r="C38" s="23"/>
      <c r="D38" s="23"/>
      <c r="E38" s="23"/>
      <c r="F38" s="23"/>
    </row>
  </sheetData>
  <mergeCells count="36">
    <mergeCell ref="A1:F1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171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6" t="s">
        <v>172</v>
      </c>
      <c r="B3" s="6" t="s">
        <v>19</v>
      </c>
      <c r="C3" s="6" t="s">
        <v>21</v>
      </c>
      <c r="D3" s="6" t="s">
        <v>25</v>
      </c>
      <c r="E3" s="6" t="s">
        <v>173</v>
      </c>
      <c r="F3" s="6" t="s">
        <v>174</v>
      </c>
      <c r="G3" s="6" t="s">
        <v>22</v>
      </c>
      <c r="H3" s="6" t="s">
        <v>23</v>
      </c>
    </row>
    <row r="4" customFormat="false" ht="15" hidden="false" customHeight="false" outlineLevel="0" collapsed="false">
      <c r="A4" s="4" t="n">
        <v>1</v>
      </c>
      <c r="B4" s="4" t="s">
        <v>175</v>
      </c>
      <c r="C4" s="15" t="n">
        <v>5344</v>
      </c>
      <c r="D4" s="9" t="n">
        <v>16</v>
      </c>
      <c r="E4" s="9" t="n">
        <v>192</v>
      </c>
      <c r="F4" s="4" t="s">
        <v>73</v>
      </c>
      <c r="G4" s="9" t="n">
        <v>4500</v>
      </c>
      <c r="H4" s="14" t="s">
        <v>71</v>
      </c>
    </row>
    <row r="5" customFormat="false" ht="15" hidden="false" customHeight="false" outlineLevel="0" collapsed="false">
      <c r="A5" s="4" t="n">
        <v>2</v>
      </c>
      <c r="B5" s="4" t="s">
        <v>176</v>
      </c>
      <c r="C5" s="15" t="n">
        <v>4930</v>
      </c>
      <c r="D5" s="9" t="n">
        <v>17</v>
      </c>
      <c r="E5" s="9" t="n">
        <v>204</v>
      </c>
      <c r="F5" s="4" t="s">
        <v>73</v>
      </c>
      <c r="G5" s="9" t="n">
        <v>4500</v>
      </c>
      <c r="H5" s="14" t="s">
        <v>71</v>
      </c>
    </row>
    <row r="6" customFormat="false" ht="15" hidden="false" customHeight="false" outlineLevel="0" collapsed="false">
      <c r="A6" s="4" t="n">
        <v>3</v>
      </c>
      <c r="B6" s="4" t="s">
        <v>176</v>
      </c>
      <c r="C6" s="15" t="n">
        <v>7399</v>
      </c>
      <c r="D6" s="9" t="n">
        <v>25</v>
      </c>
      <c r="E6" s="9" t="n">
        <v>300</v>
      </c>
      <c r="F6" s="4" t="s">
        <v>73</v>
      </c>
      <c r="G6" s="9" t="n">
        <v>6000</v>
      </c>
      <c r="H6" s="14" t="s">
        <v>71</v>
      </c>
    </row>
    <row r="7" customFormat="false" ht="15" hidden="false" customHeight="false" outlineLevel="0" collapsed="false">
      <c r="A7" s="4" t="n">
        <v>4</v>
      </c>
      <c r="B7" s="4" t="s">
        <v>177</v>
      </c>
      <c r="C7" s="15" t="n">
        <v>3587</v>
      </c>
      <c r="D7" s="9" t="n">
        <v>12</v>
      </c>
      <c r="E7" s="9" t="n">
        <v>144</v>
      </c>
      <c r="F7" s="4" t="s">
        <v>73</v>
      </c>
      <c r="G7" s="9" t="n">
        <v>3403</v>
      </c>
      <c r="H7" s="14" t="s">
        <v>71</v>
      </c>
    </row>
    <row r="8" customFormat="false" ht="15" hidden="false" customHeight="false" outlineLevel="0" collapsed="false">
      <c r="A8" s="4" t="n">
        <v>5</v>
      </c>
      <c r="B8" s="4" t="s">
        <v>177</v>
      </c>
      <c r="C8" s="15" t="n">
        <v>6486</v>
      </c>
      <c r="D8" s="9" t="n">
        <v>22</v>
      </c>
      <c r="E8" s="9" t="n">
        <v>264</v>
      </c>
      <c r="F8" s="4" t="s">
        <v>73</v>
      </c>
      <c r="G8" s="9" t="n">
        <v>5833</v>
      </c>
      <c r="H8" s="14" t="s">
        <v>71</v>
      </c>
    </row>
    <row r="9" customFormat="false" ht="15" hidden="false" customHeight="false" outlineLevel="0" collapsed="false">
      <c r="A9" s="4" t="n">
        <v>6</v>
      </c>
      <c r="B9" s="4" t="s">
        <v>178</v>
      </c>
      <c r="C9" s="15" t="n">
        <v>10239</v>
      </c>
      <c r="D9" s="9" t="n">
        <v>28</v>
      </c>
      <c r="E9" s="9" t="n">
        <v>336</v>
      </c>
      <c r="F9" s="4" t="s">
        <v>73</v>
      </c>
      <c r="G9" s="9" t="n">
        <v>7920</v>
      </c>
      <c r="H9" s="14" t="s">
        <v>71</v>
      </c>
    </row>
    <row r="10" customFormat="false" ht="15" hidden="false" customHeight="false" outlineLevel="0" collapsed="false">
      <c r="A10" s="4" t="n">
        <v>7</v>
      </c>
      <c r="B10" s="4" t="s">
        <v>178</v>
      </c>
      <c r="C10" s="15" t="n">
        <v>5461</v>
      </c>
      <c r="D10" s="9" t="n">
        <v>15</v>
      </c>
      <c r="E10" s="9" t="n">
        <v>180</v>
      </c>
      <c r="F10" s="4" t="s">
        <v>73</v>
      </c>
      <c r="G10" s="9" t="n">
        <v>4628</v>
      </c>
      <c r="H10" s="14" t="s">
        <v>71</v>
      </c>
    </row>
    <row r="11" customFormat="false" ht="15" hidden="false" customHeight="false" outlineLevel="0" collapsed="false">
      <c r="A11" s="24" t="s">
        <v>179</v>
      </c>
      <c r="B11" s="11"/>
      <c r="C11" s="12" t="n">
        <f aca="false">SUM(C4:C10)</f>
        <v>43446</v>
      </c>
      <c r="D11" s="12" t="n">
        <f aca="false">SUM(D4:D10)</f>
        <v>135</v>
      </c>
      <c r="E11" s="12" t="n">
        <f aca="false">SUM(E4:E10)</f>
        <v>1620</v>
      </c>
      <c r="F11" s="11"/>
      <c r="G11" s="12" t="n">
        <f aca="false">SUM(G4:G10)</f>
        <v>36784</v>
      </c>
      <c r="H11" s="11"/>
    </row>
    <row r="13" customFormat="false" ht="15" hidden="false" customHeight="false" outlineLevel="0" collapsed="false">
      <c r="A13" s="2" t="s">
        <v>180</v>
      </c>
    </row>
    <row r="14" customFormat="false" ht="15" hidden="false" customHeight="false" outlineLevel="0" collapsed="false">
      <c r="A14" s="25" t="s">
        <v>181</v>
      </c>
      <c r="B14" s="25"/>
      <c r="C14" s="25"/>
      <c r="D14" s="25"/>
      <c r="E14" s="25"/>
      <c r="F14" s="25"/>
      <c r="G14" s="25"/>
      <c r="H14" s="25"/>
    </row>
    <row r="15" customFormat="false" ht="15" hidden="false" customHeight="false" outlineLevel="0" collapsed="false">
      <c r="A15" s="25" t="s">
        <v>182</v>
      </c>
      <c r="B15" s="25"/>
      <c r="C15" s="25"/>
      <c r="D15" s="25"/>
      <c r="E15" s="25"/>
      <c r="F15" s="25"/>
      <c r="G15" s="25"/>
      <c r="H15" s="25"/>
    </row>
    <row r="16" customFormat="false" ht="15" hidden="false" customHeight="false" outlineLevel="0" collapsed="false">
      <c r="A16" s="25" t="s">
        <v>183</v>
      </c>
      <c r="B16" s="25"/>
      <c r="C16" s="25"/>
      <c r="D16" s="25"/>
      <c r="E16" s="25"/>
      <c r="F16" s="25"/>
      <c r="G16" s="25"/>
      <c r="H16" s="25"/>
    </row>
    <row r="17" customFormat="false" ht="15" hidden="false" customHeight="false" outlineLevel="0" collapsed="false">
      <c r="A17" s="25" t="s">
        <v>184</v>
      </c>
      <c r="B17" s="25"/>
      <c r="C17" s="25"/>
      <c r="D17" s="25"/>
      <c r="E17" s="25"/>
      <c r="F17" s="25"/>
      <c r="G17" s="25"/>
      <c r="H17" s="25"/>
    </row>
    <row r="18" customFormat="false" ht="15" hidden="false" customHeight="false" outlineLevel="0" collapsed="false">
      <c r="A18" s="25" t="s">
        <v>185</v>
      </c>
      <c r="B18" s="25"/>
      <c r="C18" s="25"/>
      <c r="D18" s="25"/>
      <c r="E18" s="25"/>
      <c r="F18" s="25"/>
      <c r="G18" s="25"/>
      <c r="H18" s="25"/>
    </row>
    <row r="19" customFormat="false" ht="15" hidden="false" customHeight="false" outlineLevel="0" collapsed="false">
      <c r="A19" s="25" t="s">
        <v>186</v>
      </c>
      <c r="B19" s="25"/>
      <c r="C19" s="25"/>
      <c r="D19" s="25"/>
      <c r="E19" s="25"/>
      <c r="F19" s="25"/>
      <c r="G19" s="25"/>
      <c r="H19" s="25"/>
    </row>
    <row r="20" customFormat="false" ht="15" hidden="false" customHeight="false" outlineLevel="0" collapsed="false">
      <c r="A20" s="25" t="s">
        <v>187</v>
      </c>
      <c r="B20" s="25"/>
      <c r="C20" s="25"/>
      <c r="D20" s="25"/>
      <c r="E20" s="25"/>
      <c r="F20" s="25"/>
      <c r="G20" s="25"/>
      <c r="H20" s="25"/>
    </row>
  </sheetData>
  <mergeCells count="8">
    <mergeCell ref="A1:H1"/>
    <mergeCell ref="A14:H14"/>
    <mergeCell ref="A15:H15"/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2026-02-26T09:43:44Z</dcterms:created>
  <dc:creator>openpyxl</dc:creator>
  <dc:description/>
  <dc:language>en-US</dc:language>
  <cp:lastModifiedBy/>
  <dcterms:modified xsi:type="dcterms:W3CDTF">2026-02-26T09:43:44Z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